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agocontetavares/Desktop/Uai/APRESENTAÇÃO/"/>
    </mc:Choice>
  </mc:AlternateContent>
  <xr:revisionPtr revIDLastSave="0" documentId="8_{887EB2EE-58DC-CA4C-BB5E-8EB2177A00C2}" xr6:coauthVersionLast="47" xr6:coauthVersionMax="47" xr10:uidLastSave="{00000000-0000-0000-0000-000000000000}"/>
  <bookViews>
    <workbookView xWindow="0" yWindow="660" windowWidth="29400" windowHeight="18460" xr2:uid="{3460B716-88D2-BD45-9BD3-771078B8970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36" i="1"/>
  <c r="D58" i="1"/>
  <c r="D52" i="1"/>
  <c r="D46" i="1"/>
  <c r="D40" i="1"/>
  <c r="D37" i="1"/>
  <c r="D36" i="1"/>
  <c r="I9" i="1"/>
  <c r="I8" i="1"/>
  <c r="I7" i="1"/>
  <c r="I6" i="1"/>
  <c r="I5" i="1"/>
  <c r="E5" i="1"/>
  <c r="E6" i="1"/>
  <c r="E9" i="1"/>
  <c r="E15" i="1"/>
  <c r="E21" i="1"/>
  <c r="E27" i="1"/>
  <c r="H33" i="1"/>
  <c r="D33" i="1"/>
</calcChain>
</file>

<file path=xl/sharedStrings.xml><?xml version="1.0" encoding="utf-8"?>
<sst xmlns="http://schemas.openxmlformats.org/spreadsheetml/2006/main" count="97" uniqueCount="27">
  <si>
    <t>17/11 a 16/12</t>
  </si>
  <si>
    <t>Diárias de captação</t>
  </si>
  <si>
    <t>Despósito Ribeira</t>
  </si>
  <si>
    <t>Loja (Barra Garden)</t>
  </si>
  <si>
    <t>Videos editados</t>
  </si>
  <si>
    <t>Ad "Black Friday"</t>
  </si>
  <si>
    <t>Ad "Geral"</t>
  </si>
  <si>
    <t>Ad "4 em 1"</t>
  </si>
  <si>
    <t>Ad "Loja Barra"</t>
  </si>
  <si>
    <t>Duração</t>
  </si>
  <si>
    <t>Trilha sonora</t>
  </si>
  <si>
    <t>41s</t>
  </si>
  <si>
    <t>Sim</t>
  </si>
  <si>
    <t>Edição de áudio</t>
  </si>
  <si>
    <t>Elementos Gráficos</t>
  </si>
  <si>
    <t>53s</t>
  </si>
  <si>
    <t>-</t>
  </si>
  <si>
    <t>45s</t>
  </si>
  <si>
    <t>17s</t>
  </si>
  <si>
    <t>Design gráfico</t>
  </si>
  <si>
    <t>Imagem para whatsapp</t>
  </si>
  <si>
    <t>Flyer</t>
  </si>
  <si>
    <t>Post carrossel</t>
  </si>
  <si>
    <t>Temas instagram</t>
  </si>
  <si>
    <t>Stories/Destaques carrossel</t>
  </si>
  <si>
    <t>Vídeo + Aúdio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</si>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</sst>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9" fontId="0" fillId="0" borderId="0" xfId="0" applyNumberFormat="1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10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8D54-05C7-D442-9949-EE538EEBFACE}">
  <dimension ref="B2:I64"/>
  <sheetViews>
    <sheetView showGridLines="0" tabSelected="1" topLeftCell="A34" zoomScale="125" zoomScaleNormal="140" workbookViewId="0">
      <selection activeCell="I45" sqref="I45"/>
    </sheetView>
  </sheetViews>
  <sheetFormatPr baseColWidth="10" defaultRowHeight="16" x14ac:dyDescent="0.2"/>
  <cols>
    <col min="1" max="1" width="4.33203125" customWidth="1"/>
    <col min="2" max="2" width="23.6640625" bestFit="1" customWidth="1"/>
    <col min="4" max="4" width="12.33203125" style="3" bestFit="1" customWidth="1"/>
    <col min="5" max="5" width="8.6640625" style="3" customWidth="1"/>
    <col min="6" max="6" width="24.33203125" bestFit="1" customWidth="1"/>
    <col min="8" max="8" width="12.33203125" style="3" bestFit="1" customWidth="1"/>
  </cols>
  <sheetData>
    <row r="2" spans="2:9" x14ac:dyDescent="0.2">
      <c r="B2" t="s">
        <v>0</v>
      </c>
    </row>
    <row r="4" spans="2:9" ht="19" x14ac:dyDescent="0.25">
      <c r="B4" s="1" t="s">
        <v>1</v>
      </c>
      <c r="F4" s="1" t="s">
        <v>19</v>
      </c>
    </row>
    <row r="5" spans="2:9" x14ac:dyDescent="0.2">
      <c r="B5" t="s">
        <v>2</v>
      </c>
      <c r="D5" s="3">
        <v>500</v>
      </c>
      <c r="E5" s="6">
        <f>D5/($D$33+$H$33)</f>
        <v>0.13157894736842105</v>
      </c>
      <c r="F5" t="s">
        <v>20</v>
      </c>
      <c r="G5">
        <v>1</v>
      </c>
      <c r="H5" s="3">
        <v>50</v>
      </c>
      <c r="I5" s="6">
        <f>H5/($D$33+$H$33)</f>
        <v>1.3157894736842105E-2</v>
      </c>
    </row>
    <row r="6" spans="2:9" x14ac:dyDescent="0.2">
      <c r="B6" t="s">
        <v>3</v>
      </c>
      <c r="D6" s="3">
        <v>500</v>
      </c>
      <c r="E6" s="6">
        <f>D6/($D$33+$H$33)</f>
        <v>0.13157894736842105</v>
      </c>
      <c r="F6" t="s">
        <v>21</v>
      </c>
      <c r="G6">
        <v>1</v>
      </c>
      <c r="H6" s="3">
        <v>100</v>
      </c>
      <c r="I6" s="6">
        <f t="shared" ref="I6:I9" si="0">H6/($D$33+$H$33)</f>
        <v>2.6315789473684209E-2</v>
      </c>
    </row>
    <row r="7" spans="2:9" x14ac:dyDescent="0.2">
      <c r="F7" t="s">
        <v>24</v>
      </c>
      <c r="G7">
        <v>7</v>
      </c>
      <c r="H7" s="3">
        <v>700</v>
      </c>
      <c r="I7" s="6">
        <f t="shared" si="0"/>
        <v>0.18421052631578946</v>
      </c>
    </row>
    <row r="8" spans="2:9" ht="19" x14ac:dyDescent="0.25">
      <c r="B8" s="1" t="s">
        <v>4</v>
      </c>
      <c r="F8" t="s">
        <v>22</v>
      </c>
      <c r="G8">
        <v>1</v>
      </c>
      <c r="H8" s="3">
        <v>200</v>
      </c>
      <c r="I8" s="6">
        <f t="shared" si="0"/>
        <v>5.2631578947368418E-2</v>
      </c>
    </row>
    <row r="9" spans="2:9" x14ac:dyDescent="0.2">
      <c r="B9" t="s">
        <v>5</v>
      </c>
      <c r="C9">
        <v>1</v>
      </c>
      <c r="D9" s="3">
        <v>350</v>
      </c>
      <c r="E9" s="6">
        <f>D9/($D$33+$H$33)</f>
        <v>9.2105263157894732E-2</v>
      </c>
      <c r="F9" t="s">
        <v>23</v>
      </c>
      <c r="G9">
        <v>3</v>
      </c>
      <c r="H9" s="3">
        <v>150</v>
      </c>
      <c r="I9" s="6">
        <f t="shared" si="0"/>
        <v>3.9473684210526314E-2</v>
      </c>
    </row>
    <row r="10" spans="2:9" x14ac:dyDescent="0.2">
      <c r="B10" t="s">
        <v>9</v>
      </c>
      <c r="C10" t="s">
        <v>11</v>
      </c>
    </row>
    <row r="11" spans="2:9" x14ac:dyDescent="0.2">
      <c r="B11" t="s">
        <v>10</v>
      </c>
      <c r="C11" t="s">
        <v>12</v>
      </c>
      <c r="F11" s="2"/>
    </row>
    <row r="12" spans="2:9" x14ac:dyDescent="0.2">
      <c r="B12" t="s">
        <v>13</v>
      </c>
      <c r="C12" t="s">
        <v>12</v>
      </c>
      <c r="F12" s="2"/>
    </row>
    <row r="13" spans="2:9" x14ac:dyDescent="0.2">
      <c r="B13" t="s">
        <v>14</v>
      </c>
      <c r="C13" t="s">
        <v>12</v>
      </c>
      <c r="F13" s="2"/>
    </row>
    <row r="14" spans="2:9" x14ac:dyDescent="0.2">
      <c r="F14" s="2"/>
    </row>
    <row r="15" spans="2:9" x14ac:dyDescent="0.2">
      <c r="B15" s="2" t="s">
        <v>6</v>
      </c>
      <c r="C15">
        <v>1</v>
      </c>
      <c r="D15" s="3">
        <v>250</v>
      </c>
      <c r="E15" s="6">
        <f>D15/($D$33+$H$33)</f>
        <v>6.5789473684210523E-2</v>
      </c>
    </row>
    <row r="16" spans="2:9" x14ac:dyDescent="0.2">
      <c r="B16" t="s">
        <v>9</v>
      </c>
      <c r="C16" t="s">
        <v>15</v>
      </c>
    </row>
    <row r="17" spans="2:5" x14ac:dyDescent="0.2">
      <c r="B17" t="s">
        <v>10</v>
      </c>
      <c r="C17" t="s">
        <v>12</v>
      </c>
    </row>
    <row r="18" spans="2:5" x14ac:dyDescent="0.2">
      <c r="B18" t="s">
        <v>13</v>
      </c>
      <c r="C18" t="s">
        <v>12</v>
      </c>
    </row>
    <row r="19" spans="2:5" x14ac:dyDescent="0.2">
      <c r="B19" t="s">
        <v>14</v>
      </c>
      <c r="C19" t="s">
        <v>16</v>
      </c>
    </row>
    <row r="21" spans="2:5" x14ac:dyDescent="0.2">
      <c r="B21" s="2" t="s">
        <v>7</v>
      </c>
      <c r="C21">
        <v>4</v>
      </c>
      <c r="D21" s="3">
        <v>800</v>
      </c>
      <c r="E21" s="6">
        <f>D21/($D$33+$H$33)</f>
        <v>0.21052631578947367</v>
      </c>
    </row>
    <row r="22" spans="2:5" x14ac:dyDescent="0.2">
      <c r="B22" t="s">
        <v>9</v>
      </c>
      <c r="C22" t="s">
        <v>17</v>
      </c>
    </row>
    <row r="23" spans="2:5" x14ac:dyDescent="0.2">
      <c r="B23" t="s">
        <v>10</v>
      </c>
      <c r="C23" t="s">
        <v>12</v>
      </c>
    </row>
    <row r="24" spans="2:5" x14ac:dyDescent="0.2">
      <c r="B24" t="s">
        <v>13</v>
      </c>
      <c r="C24" t="s">
        <v>12</v>
      </c>
    </row>
    <row r="25" spans="2:5" x14ac:dyDescent="0.2">
      <c r="B25" t="s">
        <v>14</v>
      </c>
      <c r="C25" t="s">
        <v>16</v>
      </c>
    </row>
    <row r="27" spans="2:5" x14ac:dyDescent="0.2">
      <c r="B27" s="2" t="s">
        <v>8</v>
      </c>
      <c r="C27">
        <v>1</v>
      </c>
      <c r="D27" s="3">
        <v>200</v>
      </c>
      <c r="E27" s="6">
        <f>D27/($D$33+$H$33)</f>
        <v>5.2631578947368418E-2</v>
      </c>
    </row>
    <row r="28" spans="2:5" x14ac:dyDescent="0.2">
      <c r="B28" t="s">
        <v>9</v>
      </c>
      <c r="C28" t="s">
        <v>18</v>
      </c>
    </row>
    <row r="29" spans="2:5" x14ac:dyDescent="0.2">
      <c r="B29" t="s">
        <v>10</v>
      </c>
      <c r="C29" t="s">
        <v>12</v>
      </c>
    </row>
    <row r="30" spans="2:5" x14ac:dyDescent="0.2">
      <c r="B30" t="s">
        <v>13</v>
      </c>
      <c r="C30" t="s">
        <v>12</v>
      </c>
    </row>
    <row r="31" spans="2:5" x14ac:dyDescent="0.2">
      <c r="B31" t="s">
        <v>14</v>
      </c>
      <c r="C31" t="s">
        <v>12</v>
      </c>
    </row>
    <row r="33" spans="2:9" x14ac:dyDescent="0.2">
      <c r="B33" s="4" t="s">
        <v>25</v>
      </c>
      <c r="C33" s="4"/>
      <c r="D33" s="5">
        <f>SUM(D5:D27)</f>
        <v>2600</v>
      </c>
      <c r="F33" s="4" t="s">
        <v>26</v>
      </c>
      <c r="G33" s="4"/>
      <c r="H33" s="5">
        <f>SUM(H5:H9)</f>
        <v>1200</v>
      </c>
    </row>
    <row r="35" spans="2:9" ht="19" x14ac:dyDescent="0.25">
      <c r="B35" s="1" t="s">
        <v>1</v>
      </c>
      <c r="F35" s="1" t="s">
        <v>19</v>
      </c>
    </row>
    <row r="36" spans="2:9" x14ac:dyDescent="0.2">
      <c r="B36" t="s">
        <v>2</v>
      </c>
      <c r="D36" s="3">
        <f>E36*($D$64+$H$64)</f>
        <v>65.8</v>
      </c>
      <c r="E36" s="6">
        <v>0.13159999999999999</v>
      </c>
      <c r="F36" t="s">
        <v>20</v>
      </c>
      <c r="G36">
        <v>1</v>
      </c>
      <c r="H36" s="3">
        <f>I36*($D$64+$H$64)</f>
        <v>6.6</v>
      </c>
      <c r="I36" s="6">
        <v>1.32E-2</v>
      </c>
    </row>
    <row r="37" spans="2:9" x14ac:dyDescent="0.2">
      <c r="B37" t="s">
        <v>3</v>
      </c>
      <c r="D37" s="3">
        <f>E37*($D$64+$H$64)</f>
        <v>65.8</v>
      </c>
      <c r="E37" s="6">
        <v>0.13159999999999999</v>
      </c>
      <c r="F37" t="s">
        <v>21</v>
      </c>
      <c r="G37">
        <v>1</v>
      </c>
      <c r="H37" s="3">
        <f>I37*($D$64+$H$64)</f>
        <v>13.15</v>
      </c>
      <c r="I37" s="6">
        <v>2.63E-2</v>
      </c>
    </row>
    <row r="38" spans="2:9" x14ac:dyDescent="0.2">
      <c r="F38" t="s">
        <v>24</v>
      </c>
      <c r="G38">
        <v>7</v>
      </c>
      <c r="H38" s="3">
        <f>I38*($D$64+$H$64)</f>
        <v>92.1</v>
      </c>
      <c r="I38" s="6">
        <v>0.1842</v>
      </c>
    </row>
    <row r="39" spans="2:9" ht="19" x14ac:dyDescent="0.25">
      <c r="B39" s="1" t="s">
        <v>4</v>
      </c>
      <c r="F39" t="s">
        <v>22</v>
      </c>
      <c r="G39">
        <v>1</v>
      </c>
      <c r="H39" s="3">
        <f>I39*($D$64+$H$64)</f>
        <v>26.3</v>
      </c>
      <c r="I39" s="6">
        <v>5.2600000000000001E-2</v>
      </c>
    </row>
    <row r="40" spans="2:9" x14ac:dyDescent="0.2">
      <c r="B40" t="s">
        <v>5</v>
      </c>
      <c r="C40">
        <v>1</v>
      </c>
      <c r="D40" s="3">
        <f>E40*($D$64+$H$64)</f>
        <v>46.05</v>
      </c>
      <c r="E40" s="6">
        <v>9.2100000000000001E-2</v>
      </c>
      <c r="F40" t="s">
        <v>23</v>
      </c>
      <c r="G40">
        <v>3</v>
      </c>
      <c r="H40" s="3">
        <f>I40*($D$64+$H$64)</f>
        <v>19.75</v>
      </c>
      <c r="I40" s="6">
        <v>3.95E-2</v>
      </c>
    </row>
    <row r="41" spans="2:9" x14ac:dyDescent="0.2">
      <c r="B41" t="s">
        <v>9</v>
      </c>
      <c r="C41" t="s">
        <v>11</v>
      </c>
    </row>
    <row r="42" spans="2:9" x14ac:dyDescent="0.2">
      <c r="B42" t="s">
        <v>10</v>
      </c>
      <c r="C42" t="s">
        <v>12</v>
      </c>
      <c r="F42" s="2"/>
    </row>
    <row r="43" spans="2:9" x14ac:dyDescent="0.2">
      <c r="B43" t="s">
        <v>13</v>
      </c>
      <c r="C43" t="s">
        <v>12</v>
      </c>
      <c r="F43" s="2"/>
    </row>
    <row r="44" spans="2:9" x14ac:dyDescent="0.2">
      <c r="B44" t="s">
        <v>14</v>
      </c>
      <c r="C44" t="s">
        <v>12</v>
      </c>
      <c r="F44" s="2"/>
    </row>
    <row r="45" spans="2:9" x14ac:dyDescent="0.2">
      <c r="F45" s="2"/>
    </row>
    <row r="46" spans="2:9" x14ac:dyDescent="0.2">
      <c r="B46" s="2" t="s">
        <v>6</v>
      </c>
      <c r="C46">
        <v>1</v>
      </c>
      <c r="D46" s="3">
        <f>E46*($D$64+$H$64)</f>
        <v>32.9</v>
      </c>
      <c r="E46" s="6">
        <v>6.5799999999999997E-2</v>
      </c>
    </row>
    <row r="47" spans="2:9" x14ac:dyDescent="0.2">
      <c r="B47" t="s">
        <v>9</v>
      </c>
      <c r="C47" t="s">
        <v>15</v>
      </c>
    </row>
    <row r="48" spans="2:9" x14ac:dyDescent="0.2">
      <c r="B48" t="s">
        <v>10</v>
      </c>
      <c r="C48" t="s">
        <v>12</v>
      </c>
    </row>
    <row r="49" spans="2:8" x14ac:dyDescent="0.2">
      <c r="B49" t="s">
        <v>13</v>
      </c>
      <c r="C49" t="s">
        <v>12</v>
      </c>
    </row>
    <row r="50" spans="2:8" x14ac:dyDescent="0.2">
      <c r="B50" t="s">
        <v>14</v>
      </c>
      <c r="C50" t="s">
        <v>16</v>
      </c>
    </row>
    <row r="52" spans="2:8" x14ac:dyDescent="0.2">
      <c r="B52" s="2" t="s">
        <v>7</v>
      </c>
      <c r="C52">
        <v>4</v>
      </c>
      <c r="D52" s="3">
        <f>E52*($D$64+$H$64)</f>
        <v>105.25</v>
      </c>
      <c r="E52" s="6">
        <v>0.21049999999999999</v>
      </c>
    </row>
    <row r="53" spans="2:8" x14ac:dyDescent="0.2">
      <c r="B53" t="s">
        <v>9</v>
      </c>
      <c r="C53" t="s">
        <v>17</v>
      </c>
    </row>
    <row r="54" spans="2:8" x14ac:dyDescent="0.2">
      <c r="B54" t="s">
        <v>10</v>
      </c>
      <c r="C54" t="s">
        <v>12</v>
      </c>
    </row>
    <row r="55" spans="2:8" x14ac:dyDescent="0.2">
      <c r="B55" t="s">
        <v>13</v>
      </c>
      <c r="C55" t="s">
        <v>12</v>
      </c>
    </row>
    <row r="56" spans="2:8" x14ac:dyDescent="0.2">
      <c r="B56" t="s">
        <v>14</v>
      </c>
      <c r="C56" t="s">
        <v>16</v>
      </c>
    </row>
    <row r="58" spans="2:8" x14ac:dyDescent="0.2">
      <c r="B58" s="2" t="s">
        <v>8</v>
      </c>
      <c r="C58">
        <v>1</v>
      </c>
      <c r="D58" s="3">
        <f>E58*($D$64+$H$64)</f>
        <v>26.3</v>
      </c>
      <c r="E58" s="6">
        <v>5.2600000000000001E-2</v>
      </c>
    </row>
    <row r="59" spans="2:8" x14ac:dyDescent="0.2">
      <c r="B59" t="s">
        <v>9</v>
      </c>
      <c r="C59" t="s">
        <v>18</v>
      </c>
    </row>
    <row r="60" spans="2:8" x14ac:dyDescent="0.2">
      <c r="B60" t="s">
        <v>10</v>
      </c>
      <c r="C60" t="s">
        <v>12</v>
      </c>
    </row>
    <row r="61" spans="2:8" x14ac:dyDescent="0.2">
      <c r="B61" t="s">
        <v>13</v>
      </c>
      <c r="C61" t="s">
        <v>12</v>
      </c>
    </row>
    <row r="62" spans="2:8" x14ac:dyDescent="0.2">
      <c r="B62" t="s">
        <v>14</v>
      </c>
      <c r="C62" t="s">
        <v>12</v>
      </c>
    </row>
    <row r="64" spans="2:8" x14ac:dyDescent="0.2">
      <c r="B64" s="4" t="s">
        <v>25</v>
      </c>
      <c r="C64" s="4"/>
      <c r="D64" s="5">
        <v>250</v>
      </c>
      <c r="F64" s="4" t="s">
        <v>26</v>
      </c>
      <c r="G64" s="4"/>
      <c r="H64" s="5">
        <v>250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Conte Tavares</dc:creator>
  <cp:lastModifiedBy>Thiago Conte Tavares</cp:lastModifiedBy>
  <dcterms:created xsi:type="dcterms:W3CDTF">2025-12-23T18:43:57Z</dcterms:created>
  <dcterms:modified xsi:type="dcterms:W3CDTF">2025-12-25T00:13:53Z</dcterms:modified>
</cp:coreProperties>
</file>